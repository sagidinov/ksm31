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ет" sheetId="1" state="visible" r:id="rId1"/>
    <sheet name="Пояснение" sheetId="2" state="visible" r:id="rId2"/>
  </sheets>
  <definedNames>
    <definedName name="_xlnm.Print_Titles" localSheetId="0">'Расчет'!$1:$2</definedName>
    <definedName name="_xlnm.Print_Area" localSheetId="0">'Расчет'!$A$1:$H$45</definedName>
    <definedName name="_xlnm.Print_Area" localSheetId="1">'Пояснение'!$A$1:$B$27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.MM.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E7F2EC"/>
      <sz val="12"/>
    </font>
    <font>
      <name val="Calibri"/>
      <b val="1"/>
      <color rgb="001B4D3E"/>
      <sz val="13"/>
    </font>
    <font>
      <name val="Calibri"/>
      <color rgb="001F2933"/>
      <sz val="11"/>
    </font>
    <font>
      <name val="Calibri"/>
      <b val="1"/>
      <color rgb="001F2933"/>
      <sz val="11"/>
    </font>
    <font>
      <name val="Calibri"/>
      <i val="1"/>
      <color rgb="0052606D"/>
      <sz val="10"/>
    </font>
    <font>
      <name val="Calibri"/>
      <b val="1"/>
      <color rgb="007A4E00"/>
      <sz val="11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9B1C1C"/>
      <sz val="11"/>
    </font>
    <font>
      <name val="Calibri"/>
      <b val="1"/>
      <color rgb="001B4D3E"/>
      <sz val="12"/>
    </font>
  </fonts>
  <fills count="8">
    <fill>
      <patternFill/>
    </fill>
    <fill>
      <patternFill patternType="gray125"/>
    </fill>
    <fill>
      <patternFill patternType="solid">
        <fgColor rgb="001B4D3E"/>
      </patternFill>
    </fill>
    <fill>
      <patternFill patternType="solid">
        <fgColor rgb="00E7F2EC"/>
      </patternFill>
    </fill>
    <fill>
      <patternFill patternType="solid">
        <fgColor rgb="00F7F8F9"/>
      </patternFill>
    </fill>
    <fill>
      <patternFill patternType="solid">
        <fgColor rgb="00FFF4CC"/>
      </patternFill>
    </fill>
    <fill>
      <patternFill patternType="solid">
        <fgColor rgb="00245743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3" fillId="3" borderId="0" pivotButton="0" quotePrefix="0" xfId="0"/>
    <xf numFmtId="0" fontId="0" fillId="3" borderId="0" pivotButton="0" quotePrefix="0" xfId="0"/>
    <xf numFmtId="0" fontId="4" fillId="0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4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5" fillId="4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" fontId="4" fillId="7" borderId="1" applyAlignment="1" pivotButton="0" quotePrefix="0" xfId="0">
      <alignment horizontal="center" vertical="center" wrapText="1"/>
    </xf>
    <xf numFmtId="4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7" borderId="1" pivotButton="0" quotePrefix="0" xfId="0"/>
    <xf numFmtId="0" fontId="4" fillId="7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right" vertical="center"/>
    </xf>
    <xf numFmtId="0" fontId="4" fillId="7" borderId="1" applyAlignment="1" pivotButton="0" quotePrefix="0" xfId="0">
      <alignment vertical="center" wrapText="1"/>
    </xf>
    <xf numFmtId="0" fontId="9" fillId="2" borderId="1" applyAlignment="1" pivotButton="0" quotePrefix="0" xfId="0">
      <alignment vertical="center" wrapText="1"/>
    </xf>
    <xf numFmtId="4" fontId="9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164" fontId="7" fillId="5" borderId="1" applyAlignment="1" pivotButton="0" quotePrefix="0" xfId="0">
      <alignment horizontal="right" vertical="center"/>
    </xf>
    <xf numFmtId="164" fontId="5" fillId="4" borderId="0" applyAlignment="1" pivotButton="0" quotePrefix="0" xfId="0">
      <alignment horizontal="left" vertical="center"/>
    </xf>
    <xf numFmtId="164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Расчет</author>
  </authors>
  <commentList>
    <comment ref="B10" authorId="0" shapeId="0">
      <text>
        <t>В договоре выдача — в течение 5 рабочих дней с подписания. Платежного поручения в загруженных файлах нет, поэтому день выдачи принят равным дате договора, как в примере расчета.</t>
      </text>
    </comment>
    <comment ref="B16" authorId="0" shapeId="0">
      <text>
        <t>Неустойка на этом листе посчитана при нулевых оплатах. Если платежи были, ее нужно пересчитать по датам зачисления на счет займодавца.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showGridLines="0" view="normal" zoomScale="11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8" customWidth="1" min="3" max="3"/>
    <col width="20" customWidth="1" min="4" max="4"/>
    <col width="22" customWidth="1" min="5" max="5"/>
    <col width="18" customWidth="1" min="6" max="6"/>
    <col width="28" customWidth="1" min="7" max="7"/>
    <col width="20" customWidth="1" min="8" max="8"/>
    <col width="62" customWidth="1" min="9" max="9"/>
  </cols>
  <sheetData>
    <row r="1" ht="26" customHeight="1">
      <c r="A1" s="1" t="inlineStr">
        <is>
          <t>Расчет задолженности на 1 ноября 2026 года</t>
        </is>
      </c>
    </row>
    <row r="2" ht="20" customHeight="1">
      <c r="A2" s="3" t="inlineStr">
        <is>
          <t>Договор процентного займа № 16/06/26 от 16.06.2026  ·  ООО «Цветущий сад»</t>
        </is>
      </c>
    </row>
    <row r="3"/>
    <row r="4" ht="20" customHeight="1">
      <c r="A4" s="4" t="inlineStr">
        <is>
          <t>Условия</t>
        </is>
      </c>
    </row>
    <row r="5" ht="32" customHeight="1">
      <c r="A5" s="6" t="inlineStr">
        <is>
          <t>Займодавец</t>
        </is>
      </c>
      <c r="B5" s="7" t="inlineStr">
        <is>
          <t>ИП Хрисанов Валентин Витальевич</t>
        </is>
      </c>
      <c r="C5" s="8" t="inlineStr">
        <is>
          <t>ОГРНИП 311312332700092, ИНН 312325324158</t>
        </is>
      </c>
    </row>
    <row r="6" ht="32" customHeight="1">
      <c r="A6" s="6" t="inlineStr">
        <is>
          <t>Заемщик</t>
        </is>
      </c>
      <c r="B6" s="7" t="inlineStr">
        <is>
          <t>ООО «Цветущий сад»</t>
        </is>
      </c>
      <c r="C6" s="8" t="inlineStr">
        <is>
          <t>ОГРН 1163123063839, ИНН 3128113349, КПП 310801001</t>
        </is>
      </c>
    </row>
    <row r="7" ht="32" customHeight="1">
      <c r="A7" s="6" t="inlineStr">
        <is>
          <t>Договор</t>
        </is>
      </c>
      <c r="B7" s="7" t="inlineStr">
        <is>
          <t>№ 16/06/26 от 16.06.2026, г. Белгород</t>
        </is>
      </c>
      <c r="C7" s="8" t="inlineStr">
        <is>
          <t>Сумма займа 1 500 000 руб., срок пользования по 30.09.2026 включительно</t>
        </is>
      </c>
    </row>
    <row r="8" ht="32" customHeight="1">
      <c r="A8" s="6" t="inlineStr">
        <is>
          <t>Сумма займа, ₽</t>
        </is>
      </c>
      <c r="B8" s="9" t="n">
        <v>1500000</v>
      </c>
      <c r="C8" s="8" t="inlineStr">
        <is>
          <t>П. 1.2 договора</t>
        </is>
      </c>
    </row>
    <row r="9" ht="32" customHeight="1">
      <c r="A9" s="6" t="inlineStr">
        <is>
          <t>Процентная ставка</t>
        </is>
      </c>
      <c r="B9" s="10" t="n">
        <v>0.72</v>
      </c>
      <c r="C9" s="8" t="inlineStr">
        <is>
          <t>72% годовых. Формула: сумма × ставка / 365 × дни</t>
        </is>
      </c>
    </row>
    <row r="10" ht="32" customHeight="1">
      <c r="A10" s="6" t="inlineStr">
        <is>
          <t>Дата выдачи</t>
        </is>
      </c>
      <c r="B10" s="30" t="n">
        <v>46189</v>
      </c>
      <c r="C10" s="8" t="inlineStr">
        <is>
          <t>Принята равной дате договора: даты платежа в файлах нет</t>
        </is>
      </c>
    </row>
    <row r="11" ht="32" customHeight="1">
      <c r="A11" s="6" t="inlineStr">
        <is>
          <t>Проценты начисляются с</t>
        </is>
      </c>
      <c r="B11" s="31" t="n">
        <v>46190</v>
      </c>
      <c r="C11" s="8" t="inlineStr">
        <is>
          <t>Со дня, следующего за днем выдачи, по дату расчета включительно</t>
        </is>
      </c>
    </row>
    <row r="12" ht="32" customHeight="1">
      <c r="A12" s="6" t="inlineStr">
        <is>
          <t>Срок возврата займа</t>
        </is>
      </c>
      <c r="B12" s="30" t="n">
        <v>46295</v>
      </c>
      <c r="C12" s="8" t="inlineStr">
        <is>
          <t>П. 1.1 договора: не позднее 30.09.2026</t>
        </is>
      </c>
    </row>
    <row r="13" ht="32" customHeight="1">
      <c r="A13" s="6" t="inlineStr">
        <is>
          <t>Дата расчета</t>
        </is>
      </c>
      <c r="B13" s="30" t="n">
        <v>46327</v>
      </c>
      <c r="C13" s="8" t="inlineStr">
        <is>
          <t>1 ноября 2026 года включительно</t>
        </is>
      </c>
    </row>
    <row r="14" ht="32" customHeight="1">
      <c r="A14" s="6" t="inlineStr">
        <is>
          <t>Штраф, п. 3.3</t>
        </is>
      </c>
      <c r="B14" s="10" t="n">
        <v>0.1</v>
      </c>
      <c r="C14" s="8" t="inlineStr">
        <is>
          <t>10% от суммы займа один раз, если срок возврата нарушен</t>
        </is>
      </c>
    </row>
    <row r="15" ht="32" customHeight="1">
      <c r="A15" s="6" t="inlineStr">
        <is>
          <t>Неустойка в день, п. 3.4</t>
        </is>
      </c>
      <c r="B15" s="10" t="n">
        <v>0.001</v>
      </c>
      <c r="C15" s="8" t="inlineStr">
        <is>
          <t>0,1% от просроченной суммы за каждый день</t>
        </is>
      </c>
    </row>
    <row r="16" ht="32" customHeight="1">
      <c r="A16" s="6" t="inlineStr">
        <is>
          <t>Оплачено процентов, ₽</t>
        </is>
      </c>
      <c r="B16" s="9" t="n">
        <v>0</v>
      </c>
      <c r="C16" s="8" t="inlineStr">
        <is>
          <t>Платежей по этому займу в договоре и в примере нет</t>
        </is>
      </c>
    </row>
    <row r="17" ht="32" customHeight="1">
      <c r="A17" s="6" t="inlineStr">
        <is>
          <t>Оплачено основного долга, ₽</t>
        </is>
      </c>
      <c r="B17" s="9" t="n">
        <v>0</v>
      </c>
      <c r="C17" s="8" t="inlineStr">
        <is>
          <t>Платежей по этому займу в договоре и в примере нет</t>
        </is>
      </c>
    </row>
    <row r="18"/>
    <row r="19" ht="20" customHeight="1">
      <c r="A19" s="4" t="inlineStr">
        <is>
          <t>Проценты и неустойка по процентам</t>
        </is>
      </c>
    </row>
    <row r="20" ht="32" customHeight="1">
      <c r="A20" s="13" t="inlineStr">
        <is>
          <t>Период</t>
        </is>
      </c>
      <c r="B20" s="13" t="inlineStr">
        <is>
          <t>Дней</t>
        </is>
      </c>
      <c r="C20" s="13" t="inlineStr">
        <is>
          <t>Сумма займа, ₽</t>
        </is>
      </c>
      <c r="D20" s="13" t="inlineStr">
        <is>
          <t>Проценты, ₽</t>
        </is>
      </c>
      <c r="E20" s="13" t="inlineStr">
        <is>
          <t>Срок уплаты</t>
        </is>
      </c>
      <c r="F20" s="13" t="inlineStr">
        <is>
          <t>Дней просрочки</t>
        </is>
      </c>
      <c r="G20" s="13" t="inlineStr">
        <is>
          <t>Просрочено нарастающим итогом, ₽</t>
        </is>
      </c>
      <c r="H20" s="13" t="inlineStr">
        <is>
          <t>Неустойка, ₽</t>
        </is>
      </c>
    </row>
    <row r="21" ht="22" customHeight="1">
      <c r="A21" s="14" t="inlineStr">
        <is>
          <t>Июнь 2026</t>
        </is>
      </c>
      <c r="B21" s="15" t="n">
        <v>14</v>
      </c>
      <c r="C21" s="16" t="n">
        <v>1500000</v>
      </c>
      <c r="D21" s="16" t="n">
        <v>41424.66</v>
      </c>
      <c r="E21" s="32" t="n">
        <v>46203</v>
      </c>
      <c r="F21" s="15" t="n">
        <v>124</v>
      </c>
      <c r="G21" s="16" t="n">
        <v>41424.66</v>
      </c>
      <c r="H21" s="16" t="n">
        <v>5136.66</v>
      </c>
    </row>
    <row r="22" ht="22" customHeight="1">
      <c r="A22" s="14" t="inlineStr">
        <is>
          <t>Июль 2026</t>
        </is>
      </c>
      <c r="B22" s="15" t="n">
        <v>31</v>
      </c>
      <c r="C22" s="16" t="n">
        <v>1500000</v>
      </c>
      <c r="D22" s="16" t="n">
        <v>91726.03</v>
      </c>
      <c r="E22" s="32" t="n">
        <v>46234</v>
      </c>
      <c r="F22" s="15" t="n">
        <v>93</v>
      </c>
      <c r="G22" s="16" t="n">
        <v>133150.69</v>
      </c>
      <c r="H22" s="16" t="n">
        <v>8530.52</v>
      </c>
    </row>
    <row r="23" ht="22" customHeight="1">
      <c r="A23" s="14" t="inlineStr">
        <is>
          <t>Август 2026</t>
        </is>
      </c>
      <c r="B23" s="15" t="n">
        <v>31</v>
      </c>
      <c r="C23" s="16" t="n">
        <v>1500000</v>
      </c>
      <c r="D23" s="16" t="n">
        <v>91726.03</v>
      </c>
      <c r="E23" s="32" t="n">
        <v>46265</v>
      </c>
      <c r="F23" s="15" t="n">
        <v>62</v>
      </c>
      <c r="G23" s="16" t="n">
        <v>224876.72</v>
      </c>
      <c r="H23" s="16" t="n">
        <v>5687.01</v>
      </c>
    </row>
    <row r="24" ht="22" customHeight="1">
      <c r="A24" s="14" t="inlineStr">
        <is>
          <t>Сентябрь 2026</t>
        </is>
      </c>
      <c r="B24" s="15" t="n">
        <v>30</v>
      </c>
      <c r="C24" s="16" t="n">
        <v>1500000</v>
      </c>
      <c r="D24" s="16" t="n">
        <v>88767.12</v>
      </c>
      <c r="E24" s="32" t="n">
        <v>46295</v>
      </c>
      <c r="F24" s="15" t="n">
        <v>32</v>
      </c>
      <c r="G24" s="16" t="n">
        <v>313643.84</v>
      </c>
      <c r="H24" s="16" t="n">
        <v>2840.55</v>
      </c>
    </row>
    <row r="25" ht="22" customHeight="1">
      <c r="A25" s="14" t="inlineStr">
        <is>
          <t>Октябрь 2026</t>
        </is>
      </c>
      <c r="B25" s="15" t="n">
        <v>31</v>
      </c>
      <c r="C25" s="16" t="n">
        <v>1500000</v>
      </c>
      <c r="D25" s="16" t="n">
        <v>91726.03</v>
      </c>
      <c r="E25" s="32" t="n">
        <v>46326</v>
      </c>
      <c r="F25" s="15" t="n">
        <v>1</v>
      </c>
      <c r="G25" s="16" t="n">
        <v>405369.87</v>
      </c>
      <c r="H25" s="16" t="n">
        <v>91.73</v>
      </c>
    </row>
    <row r="26" ht="22" customHeight="1">
      <c r="A26" s="14" t="inlineStr">
        <is>
          <t>Ноябрь 2026</t>
        </is>
      </c>
      <c r="B26" s="15" t="n">
        <v>1</v>
      </c>
      <c r="C26" s="16" t="n">
        <v>1500000</v>
      </c>
      <c r="D26" s="16" t="n">
        <v>2958.9</v>
      </c>
      <c r="E26" s="32" t="n">
        <v>46356</v>
      </c>
      <c r="F26" s="15" t="n">
        <v>0</v>
      </c>
      <c r="G26" s="16" t="n">
        <v>405369.87</v>
      </c>
      <c r="H26" s="16" t="n">
        <v>0</v>
      </c>
    </row>
    <row r="27"/>
    <row r="28" ht="20" customHeight="1">
      <c r="A28" s="4" t="inlineStr">
        <is>
          <t>Основной долг и штраф</t>
        </is>
      </c>
    </row>
    <row r="29" ht="22" customHeight="1">
      <c r="A29" s="13" t="inlineStr">
        <is>
          <t>Показатель</t>
        </is>
      </c>
      <c r="B29" s="13" t="inlineStr">
        <is>
          <t>Сумма, ₽</t>
        </is>
      </c>
      <c r="C29" s="13" t="inlineStr">
        <is>
          <t>Срок возврата</t>
        </is>
      </c>
      <c r="D29" s="13" t="inlineStr">
        <is>
          <t>Дней просрочки</t>
        </is>
      </c>
      <c r="E29" s="13" t="inlineStr">
        <is>
          <t>Неустойка или штраф, ₽</t>
        </is>
      </c>
      <c r="F29" s="33" t="n"/>
      <c r="G29" s="33" t="n"/>
      <c r="H29" s="34" t="n"/>
    </row>
    <row r="30" ht="22" customHeight="1">
      <c r="A30" s="14" t="inlineStr">
        <is>
          <t>Основной долг</t>
        </is>
      </c>
      <c r="B30" s="16" t="n">
        <v>1500000</v>
      </c>
      <c r="C30" s="32" t="n">
        <v>46295</v>
      </c>
      <c r="D30" s="15" t="n">
        <v>32</v>
      </c>
      <c r="E30" s="16" t="n">
        <v>48000</v>
      </c>
      <c r="F30" s="33" t="n"/>
      <c r="G30" s="33" t="n"/>
      <c r="H30" s="34" t="n"/>
      <c r="I30" s="8" t="inlineStr">
        <is>
          <t>0,1% в день с 01.10.2026 по дату расчета включительно. База — сумма займа, оплат нет.</t>
        </is>
      </c>
    </row>
    <row r="31" ht="22" customHeight="1">
      <c r="A31" s="14" t="inlineStr">
        <is>
          <t>Штраф 10% (п. 3.3)</t>
        </is>
      </c>
      <c r="B31" s="16" t="n">
        <v>1500000</v>
      </c>
      <c r="C31" s="32" t="n">
        <v>46295</v>
      </c>
      <c r="D31" s="20" t="inlineStr">
        <is>
          <t>срок нарушен</t>
        </is>
      </c>
      <c r="E31" s="16" t="n">
        <v>150000</v>
      </c>
      <c r="F31" s="33" t="n"/>
      <c r="G31" s="33" t="n"/>
      <c r="H31" s="34" t="n"/>
      <c r="I31" s="8" t="inlineStr">
        <is>
          <t>Один раз от суммы займа. На дату расчета срок возврата уже прошел.</t>
        </is>
      </c>
    </row>
    <row r="32"/>
    <row r="33" ht="20" customHeight="1">
      <c r="A33" s="4" t="inlineStr">
        <is>
          <t>Задолженность на дату расчета</t>
        </is>
      </c>
    </row>
    <row r="34" ht="20" customHeight="1">
      <c r="A34" s="14" t="inlineStr">
        <is>
          <t>Основной долг</t>
        </is>
      </c>
      <c r="B34" s="21" t="n">
        <v>1500000</v>
      </c>
    </row>
    <row r="35" ht="20" customHeight="1">
      <c r="A35" s="14" t="inlineStr">
        <is>
          <t>Проценты</t>
        </is>
      </c>
      <c r="B35" s="21" t="n">
        <v>408328.77</v>
      </c>
    </row>
    <row r="36" ht="20" customHeight="1">
      <c r="A36" s="22" t="inlineStr">
        <is>
          <t xml:space="preserve">    в том числе просроченные</t>
        </is>
      </c>
      <c r="B36" s="21" t="n">
        <v>405369.87</v>
      </c>
    </row>
    <row r="37" ht="20" customHeight="1">
      <c r="A37" s="22" t="inlineStr">
        <is>
          <t xml:space="preserve">    в том числе срок уплаты не наступил</t>
        </is>
      </c>
      <c r="B37" s="21" t="n">
        <v>2958.9</v>
      </c>
    </row>
    <row r="38" ht="20" customHeight="1">
      <c r="A38" s="14" t="inlineStr">
        <is>
          <t>Штраф, п. 3.3</t>
        </is>
      </c>
      <c r="B38" s="21" t="n">
        <v>150000</v>
      </c>
    </row>
    <row r="39" ht="20" customHeight="1">
      <c r="A39" s="14" t="inlineStr">
        <is>
          <t>Неустойка по процентам, п. 3.4</t>
        </is>
      </c>
      <c r="B39" s="21" t="n">
        <v>22286.47</v>
      </c>
    </row>
    <row r="40" ht="20" customHeight="1">
      <c r="A40" s="14" t="inlineStr">
        <is>
          <t>Неустойка по основному долгу, п. 3.4</t>
        </is>
      </c>
      <c r="B40" s="21" t="n">
        <v>48000</v>
      </c>
    </row>
    <row r="41" ht="24" customHeight="1">
      <c r="A41" s="23" t="inlineStr">
        <is>
          <t>Итого к уплате</t>
        </is>
      </c>
      <c r="B41" s="24" t="n">
        <v>2128615.24</v>
      </c>
    </row>
    <row r="42" ht="32" customHeight="1">
      <c r="A42" s="25" t="n"/>
    </row>
    <row r="43" ht="36" customHeight="1">
      <c r="A43" s="26" t="inlineStr">
        <is>
          <t>Это сохраненный расчет на 01.11.2026: суммы уже посчитаны и записаны в ячейки. День выдачи принят 16.06.2026, проценты идут с 17.06.2026 по 01.11.2026 включительно. Оплат по этому займу в договоре нет, они приняты равными нулю. Проценты после 30.09.2026 начислены за фактическое пользование до даты расчета. Штраф 10% и неустойка 0,1% в день показаны отдельно.</t>
        </is>
      </c>
    </row>
    <row r="44" ht="36" customHeight="1"/>
    <row r="45" ht="36" customHeight="1"/>
  </sheetData>
  <mergeCells count="24">
    <mergeCell ref="A43:H45"/>
    <mergeCell ref="C10:H10"/>
    <mergeCell ref="C16:H16"/>
    <mergeCell ref="C9:H9"/>
    <mergeCell ref="A1:H1"/>
    <mergeCell ref="C12:H12"/>
    <mergeCell ref="C11:H11"/>
    <mergeCell ref="C8:H8"/>
    <mergeCell ref="C17:H17"/>
    <mergeCell ref="A4:C4"/>
    <mergeCell ref="C7:H7"/>
    <mergeCell ref="C13:H13"/>
    <mergeCell ref="A2:H2"/>
    <mergeCell ref="A33:B33"/>
    <mergeCell ref="A42:H42"/>
    <mergeCell ref="E29:H29"/>
    <mergeCell ref="C15:H15"/>
    <mergeCell ref="C6:H6"/>
    <mergeCell ref="E31:H31"/>
    <mergeCell ref="C14:H14"/>
    <mergeCell ref="C5:H5"/>
    <mergeCell ref="A28:H28"/>
    <mergeCell ref="E30:H30"/>
    <mergeCell ref="A19:H19"/>
  </mergeCells>
  <conditionalFormatting sqref="A21:H26">
    <cfRule type="expression" priority="1" dxfId="0">
      <formula>$F21&gt;0</formula>
    </cfRule>
  </conditionalFormatting>
  <pageMargins left="0.5" right="0.5" top="0.6" bottom="0.6" header="0.25" footer="0.25"/>
  <pageSetup orientation="landscape" paperSize="9" scale="70" fitToHeight="1" fitToWidth="1" horizontalDpi="300" verticalDpi="300"/>
  <headerFooter>
    <oddHeader>&amp;LДоговор процентного займа № 16/06/26&amp;C</oddHeader>
    <oddFooter>&amp;LООО «Цветущий сад»  ·  расчет на 01.11.2026&amp;RСтр.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6" customHeight="1">
      <c r="A1" s="1" t="inlineStr">
        <is>
          <t>Как посчитано</t>
        </is>
      </c>
    </row>
    <row r="2"/>
    <row r="3" ht="108" customHeight="1">
      <c r="A3" s="27" t="inlineStr">
        <is>
          <t>Основание</t>
        </is>
      </c>
      <c r="B3" s="28" t="inlineStr">
        <is>
          <t>Расчет заполнен по образцу файла «Расчет ЮНИВЕР для Юскова на 26.10.2026» и по договору процентного займа № 16/06/26 от 16 июня 2026 года. Займодавец — ИП Хрисанов Валентин Витальевич. Заемщик — ООО «Цветущий сад». Сумма займа 1 500 000 рублей. Ставка 72% годовых. Срок пользования по договору — с 16.06.2026 по 30.09.2026 включительно. Дата расчета — 1 ноября 2026 года, этот день включен.</t>
        </is>
      </c>
    </row>
    <row r="4"/>
    <row r="5" ht="108" customHeight="1">
      <c r="A5" s="27" t="inlineStr">
        <is>
          <t>Проценты</t>
        </is>
      </c>
      <c r="B5" s="28" t="inlineStr">
        <is>
          <t>Формула, как в договоре и в примере: сумма займа × 72% / 365 × число дней. Каждый период округляется до копейки. В примере проценты идут со дня, следующего за днем выдачи, по дату расчета включительно. Здесь то же правило. День выдачи принят 16.06.2026, потому что отдельной даты платежа в файлах нет, а договор дает на выдачу пять рабочих дней. Проценты поэтому начинаются 17.06.2026. Июнь — 14 дней (17–30 июня), июль — 31, август — 31, сентябрь — 30, октябрь — 31, 1 ноября — 1 день.</t>
        </is>
      </c>
    </row>
    <row r="6"/>
    <row r="7" ht="108" customHeight="1">
      <c r="A7" s="27" t="inlineStr">
        <is>
          <t>После 30 сентября</t>
        </is>
      </c>
      <c r="B7" s="28" t="inlineStr">
        <is>
          <t>Договор заканчивает срок пользования 30.09.2026. К 1 ноября займ не возвращен, поэтому проценты за 1–31 октября и за 1 ноября начислены за фактическое пользование, по тому же правилу, что в примере. Штраф и неустойка за пропуск срока возврата от этих процентов не заменяют их и показаны отдельно.</t>
        </is>
      </c>
    </row>
    <row r="8"/>
    <row r="9" ht="108" customHeight="1">
      <c r="A9" s="27" t="inlineStr">
        <is>
          <t>Когда проценты становятся просроченными</t>
        </is>
      </c>
      <c r="B9" s="28" t="inlineStr">
        <is>
          <t>Пункт 3.1 договора: проценты уплачиваются не позднее последнего числа каждого месяца. Проценты за июнь просрочены с 1 июля, за июль — с 1 августа, за август — с 1 сентября, за сентябрь — с 1 октября, за октябрь — с 1 ноября. Проценты за 1 ноября уплачиваются не позднее 30.11.2026, на дату расчета они еще не просрочены.</t>
        </is>
      </c>
    </row>
    <row r="10"/>
    <row r="11" ht="108" customHeight="1">
      <c r="A11" s="27" t="inlineStr">
        <is>
          <t>Штраф</t>
        </is>
      </c>
      <c r="B11" s="28" t="inlineStr">
        <is>
          <t>Пункт 3.3: 10% от суммы займа за нарушение срока возврата из пункта 1.1, то есть срока 30.09.2026. На 1 ноября этот срок уже нарушен. Штраф равен 150 000 рублей и берется один раз, не за каждый день.</t>
        </is>
      </c>
    </row>
    <row r="12"/>
    <row r="13" ht="108" customHeight="1">
      <c r="A13" s="27" t="inlineStr">
        <is>
          <t>Неустойка</t>
        </is>
      </c>
      <c r="B13" s="28" t="inlineStr">
        <is>
          <t>Пункт 3.4 и пример расчета: 0,1% от просроченной суммы за каждый день просрочки. По каждому месяцу процентов неустойка считается от процентов этого месяца и от числа дней с даты, следующей за сроком уплаты, по 1 ноября включительно. По основному долгу — от 1 500 000 рублей за 32 дня, с 1 октября по 1 ноября включительно. Штраф в базу неустойки не входит.</t>
        </is>
      </c>
    </row>
    <row r="14"/>
    <row r="15" ht="108" customHeight="1">
      <c r="A15" s="27" t="inlineStr">
        <is>
          <t>Оплаты</t>
        </is>
      </c>
      <c r="B15" s="28" t="inlineStr">
        <is>
          <t>В договоре и в примере нет платежей ООО «Цветущий сад» по этому займу. Оплата процентов и основного долга принята равной нулю. Договор считает обязательство исполненным в момент зачисления денег на счет займодавца. Если такие зачисления были, остаток долга и неустойка меньше: неустойку тогда надо пересчитать по фактическим датам.</t>
        </is>
      </c>
    </row>
    <row r="16"/>
    <row r="17" ht="108" customHeight="1">
      <c r="A17" s="27" t="inlineStr">
        <is>
          <t>Итог на 01.11.2026</t>
        </is>
      </c>
      <c r="B17" s="28" t="inlineStr">
        <is>
          <t>Сумма к уплате стоит на листе «Расчет» в строке «Итого к уплате». Она складывается из остатка основного долга, начисленных процентов, штрафа и двух неустоек.</t>
        </is>
      </c>
    </row>
    <row r="18"/>
    <row r="19" ht="22" customHeight="1">
      <c r="A19" s="29" t="inlineStr">
        <is>
          <t>Состав итога</t>
        </is>
      </c>
    </row>
    <row r="20" ht="20" customHeight="1">
      <c r="A20" s="22" t="inlineStr">
        <is>
          <t>Основной долг</t>
        </is>
      </c>
      <c r="B20" s="21" t="n">
        <v>1500000</v>
      </c>
    </row>
    <row r="21" ht="20" customHeight="1">
      <c r="A21" s="22" t="inlineStr">
        <is>
          <t>Проценты</t>
        </is>
      </c>
      <c r="B21" s="21" t="n">
        <v>408328.77</v>
      </c>
    </row>
    <row r="22" ht="20" customHeight="1">
      <c r="A22" s="22" t="inlineStr">
        <is>
          <t xml:space="preserve">    просроченные</t>
        </is>
      </c>
      <c r="B22" s="21" t="n">
        <v>405369.87</v>
      </c>
    </row>
    <row r="23" ht="20" customHeight="1">
      <c r="A23" s="22" t="inlineStr">
        <is>
          <t xml:space="preserve">    срок уплаты не наступил</t>
        </is>
      </c>
      <c r="B23" s="21" t="n">
        <v>2958.9</v>
      </c>
    </row>
    <row r="24" ht="20" customHeight="1">
      <c r="A24" s="22" t="inlineStr">
        <is>
          <t>Штраф</t>
        </is>
      </c>
      <c r="B24" s="21" t="n">
        <v>150000</v>
      </c>
    </row>
    <row r="25" ht="20" customHeight="1">
      <c r="A25" s="22" t="inlineStr">
        <is>
          <t>Неустойка по процентам</t>
        </is>
      </c>
      <c r="B25" s="21" t="n">
        <v>22286.47</v>
      </c>
    </row>
    <row r="26" ht="20" customHeight="1">
      <c r="A26" s="22" t="inlineStr">
        <is>
          <t>Неустойка по основному долгу</t>
        </is>
      </c>
      <c r="B26" s="21" t="n">
        <v>48000</v>
      </c>
    </row>
    <row r="27" ht="20" customHeight="1">
      <c r="A27" s="23" t="inlineStr">
        <is>
          <t>Итого к уплате</t>
        </is>
      </c>
      <c r="B27" s="24" t="n">
        <v>2128615.24</v>
      </c>
    </row>
  </sheetData>
  <mergeCells count="2">
    <mergeCell ref="A19:B19"/>
    <mergeCell ref="A1:B1"/>
  </mergeCells>
  <pageMargins left="0.7" right="0.7" top="0.7" bottom="0.7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Расчет задолженности ООО Цветущий сад на 01.11.2026</dc:title>
  <dc:subject>Договор процентного займа № 16/06/26</dc:subject>
  <dcterms:created xsi:type="dcterms:W3CDTF">2026-10-29T14:08:43Z</dcterms:created>
  <dcterms:modified xsi:type="dcterms:W3CDTF">2026-10-29T14:26:29Z</dcterms:modified>
</cp:coreProperties>
</file>