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Баланс БГД" sheetId="7" r:id="rId1"/>
  </sheets>
  <calcPr calcId="162913"/>
</workbook>
</file>

<file path=xl/calcChain.xml><?xml version="1.0" encoding="utf-8"?>
<calcChain xmlns="http://schemas.openxmlformats.org/spreadsheetml/2006/main">
  <c r="G29" i="7" l="1"/>
  <c r="G28" i="7"/>
  <c r="G27" i="7"/>
  <c r="J29" i="7" l="1"/>
  <c r="J28" i="7"/>
  <c r="J27" i="7"/>
  <c r="G33" i="7"/>
  <c r="E55" i="7" l="1"/>
  <c r="E54" i="7"/>
  <c r="J33" i="7"/>
  <c r="G30" i="7"/>
  <c r="G52" i="7"/>
  <c r="E52" i="7"/>
  <c r="E51" i="7"/>
  <c r="D48" i="7"/>
  <c r="F30" i="7"/>
  <c r="F29" i="7"/>
  <c r="F28" i="7"/>
  <c r="F27" i="7"/>
  <c r="J26" i="7"/>
  <c r="F26" i="7"/>
  <c r="J25" i="7"/>
  <c r="F25" i="7"/>
  <c r="J24" i="7"/>
  <c r="F24" i="7"/>
  <c r="J23" i="7"/>
  <c r="F23" i="7"/>
  <c r="F22" i="7"/>
  <c r="F21" i="7"/>
  <c r="F20" i="7"/>
  <c r="F19" i="7"/>
  <c r="F18" i="7"/>
  <c r="F17" i="7"/>
  <c r="F16" i="7"/>
  <c r="D15" i="7"/>
  <c r="F15" i="7" s="1"/>
  <c r="F33" i="7" s="1"/>
  <c r="J30" i="7" l="1"/>
</calcChain>
</file>

<file path=xl/sharedStrings.xml><?xml version="1.0" encoding="utf-8"?>
<sst xmlns="http://schemas.openxmlformats.org/spreadsheetml/2006/main" count="42" uniqueCount="42">
  <si>
    <t>Проценты исчисляются со дня, следующего за днем предоставления займа (ст. 191 ГК РФ), по дату его возврата включительно (п. 3 ст. 809 ГК РФ)</t>
  </si>
  <si>
    <t>период</t>
  </si>
  <si>
    <t>дней</t>
  </si>
  <si>
    <t>сумма займа</t>
  </si>
  <si>
    <t>проценты</t>
  </si>
  <si>
    <t>сумма просроченных платежей</t>
  </si>
  <si>
    <t>Основной долг</t>
  </si>
  <si>
    <t>Проценты</t>
  </si>
  <si>
    <t>Штраф</t>
  </si>
  <si>
    <t>Неустойка</t>
  </si>
  <si>
    <t>Штраф: 10% (п. 3.3. Договор займа)</t>
  </si>
  <si>
    <t>Неустока: 0,1% ( п. 3.4 Договор займа)</t>
  </si>
  <si>
    <t>период просрочки</t>
  </si>
  <si>
    <t>неустойка</t>
  </si>
  <si>
    <t>кол-во дней</t>
  </si>
  <si>
    <t>01.09.2026-30.09.2026</t>
  </si>
  <si>
    <t>Процентная ставка: 72 % в год</t>
  </si>
  <si>
    <t xml:space="preserve">Период просроченных процентов: 01.07.2026 – 26.10.2026 </t>
  </si>
  <si>
    <t xml:space="preserve">Займодавец: ООО "Баланс" Белгород
</t>
  </si>
  <si>
    <t>Договор: процентного займа № 10/07/25 от 10.07.2025 г. (72%)</t>
  </si>
  <si>
    <t>Сумма займа на дату выдачи:1 000 000,00 ₽</t>
  </si>
  <si>
    <t>Срок займа по договору: 10.07.2025 – 29.12.2026</t>
  </si>
  <si>
    <t>Дата</t>
  </si>
  <si>
    <t>Сумма оплаченных процентов</t>
  </si>
  <si>
    <t>Задолженность на 26.10.2026 г.</t>
  </si>
  <si>
    <t>01.08.2026-31.08.26</t>
  </si>
  <si>
    <t>01.10.2026-26.10.2026</t>
  </si>
  <si>
    <t>Итого на 26.10.2026 г.:</t>
  </si>
  <si>
    <t xml:space="preserve"> 10.02.26</t>
  </si>
  <si>
    <t xml:space="preserve"> 02.03.26</t>
  </si>
  <si>
    <t xml:space="preserve"> 16.04.26</t>
  </si>
  <si>
    <t xml:space="preserve"> 15.05.26</t>
  </si>
  <si>
    <t xml:space="preserve"> 01.09.26</t>
  </si>
  <si>
    <t>в т.ч. Просроченных</t>
  </si>
  <si>
    <t xml:space="preserve"> 31.07.25</t>
  </si>
  <si>
    <t xml:space="preserve"> 01.09.25</t>
  </si>
  <si>
    <t xml:space="preserve"> 30.09.25</t>
  </si>
  <si>
    <t xml:space="preserve"> 31.10.25</t>
  </si>
  <si>
    <t xml:space="preserve"> 04.12.25</t>
  </si>
  <si>
    <t xml:space="preserve"> 30.12.25</t>
  </si>
  <si>
    <t xml:space="preserve"> 22.06.26</t>
  </si>
  <si>
    <t xml:space="preserve"> 24.06.26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</si>
</sst>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₽_-;\-* #,##0.00\ _₽_-;_-* &quot;-&quot;??\ _₽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40404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1"/>
      <color rgb="FF404040"/>
      <name val="Times New Roman"/>
      <family val="1"/>
      <charset val="204"/>
    </font>
    <font>
      <b/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43" fontId="3" fillId="0" borderId="0" xfId="1" applyFont="1" applyBorder="1" applyAlignment="1">
      <alignment vertical="center" wrapText="1"/>
    </xf>
    <xf numFmtId="43" fontId="3" fillId="0" borderId="0" xfId="1" applyFont="1" applyBorder="1" applyAlignment="1">
      <alignment horizontal="left" vertical="center" wrapText="1" indent="1"/>
    </xf>
    <xf numFmtId="43" fontId="3" fillId="0" borderId="0" xfId="0" applyNumberFormat="1" applyFont="1" applyBorder="1" applyAlignment="1">
      <alignment horizontal="left" vertical="center" wrapText="1" inden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 indent="1"/>
    </xf>
    <xf numFmtId="0" fontId="3" fillId="0" borderId="3" xfId="0" applyFont="1" applyFill="1" applyBorder="1" applyAlignment="1">
      <alignment horizontal="left" vertical="center" wrapText="1" indent="1"/>
    </xf>
    <xf numFmtId="17" fontId="5" fillId="0" borderId="3" xfId="0" applyNumberFormat="1" applyFont="1" applyBorder="1" applyAlignment="1">
      <alignment vertical="center" wrapText="1"/>
    </xf>
    <xf numFmtId="0" fontId="5" fillId="0" borderId="3" xfId="0" applyNumberFormat="1" applyFont="1" applyBorder="1" applyAlignment="1">
      <alignment vertical="center" wrapText="1"/>
    </xf>
    <xf numFmtId="43" fontId="5" fillId="0" borderId="3" xfId="1" applyFont="1" applyBorder="1" applyAlignment="1">
      <alignment vertical="center" wrapText="1"/>
    </xf>
    <xf numFmtId="43" fontId="5" fillId="0" borderId="3" xfId="1" applyFont="1" applyBorder="1" applyAlignment="1">
      <alignment horizontal="left" vertical="center" wrapText="1" indent="1"/>
    </xf>
    <xf numFmtId="43" fontId="5" fillId="0" borderId="3" xfId="0" applyNumberFormat="1" applyFont="1" applyBorder="1" applyAlignment="1">
      <alignment horizontal="left" vertical="center" wrapText="1" indent="1"/>
    </xf>
    <xf numFmtId="0" fontId="0" fillId="0" borderId="3" xfId="0" applyBorder="1"/>
    <xf numFmtId="43" fontId="0" fillId="0" borderId="3" xfId="0" applyNumberFormat="1" applyBorder="1"/>
    <xf numFmtId="43" fontId="3" fillId="0" borderId="3" xfId="0" applyNumberFormat="1" applyFont="1" applyBorder="1" applyAlignment="1">
      <alignment horizontal="left" vertical="center" wrapText="1" indent="1"/>
    </xf>
    <xf numFmtId="0" fontId="6" fillId="0" borderId="0" xfId="0" applyFont="1" applyAlignment="1">
      <alignment vertical="center"/>
    </xf>
    <xf numFmtId="43" fontId="5" fillId="0" borderId="0" xfId="1" applyFont="1" applyBorder="1" applyAlignment="1">
      <alignment horizontal="left" vertical="center" wrapText="1" indent="1"/>
    </xf>
    <xf numFmtId="0" fontId="0" fillId="0" borderId="0" xfId="0" applyBorder="1"/>
    <xf numFmtId="43" fontId="0" fillId="0" borderId="0" xfId="0" applyNumberFormat="1" applyBorder="1"/>
    <xf numFmtId="0" fontId="0" fillId="2" borderId="0" xfId="0" applyFill="1"/>
    <xf numFmtId="0" fontId="4" fillId="2" borderId="0" xfId="0" applyFont="1" applyFill="1" applyAlignment="1">
      <alignment vertical="center"/>
    </xf>
    <xf numFmtId="17" fontId="5" fillId="0" borderId="4" xfId="0" applyNumberFormat="1" applyFont="1" applyBorder="1" applyAlignment="1">
      <alignment vertical="center" wrapText="1"/>
    </xf>
    <xf numFmtId="0" fontId="5" fillId="0" borderId="4" xfId="0" applyNumberFormat="1" applyFont="1" applyBorder="1" applyAlignment="1">
      <alignment vertical="center" wrapText="1"/>
    </xf>
    <xf numFmtId="43" fontId="5" fillId="0" borderId="4" xfId="1" applyFont="1" applyBorder="1" applyAlignment="1">
      <alignment vertical="center" wrapText="1"/>
    </xf>
    <xf numFmtId="43" fontId="5" fillId="0" borderId="4" xfId="1" applyFont="1" applyBorder="1" applyAlignment="1">
      <alignment horizontal="left" vertical="center" wrapText="1" indent="1"/>
    </xf>
    <xf numFmtId="43" fontId="5" fillId="0" borderId="4" xfId="0" applyNumberFormat="1" applyFont="1" applyBorder="1" applyAlignment="1">
      <alignment horizontal="left" vertical="center" wrapText="1" indent="1"/>
    </xf>
    <xf numFmtId="0" fontId="0" fillId="0" borderId="4" xfId="0" applyBorder="1"/>
    <xf numFmtId="43" fontId="0" fillId="0" borderId="4" xfId="0" applyNumberFormat="1" applyBorder="1"/>
    <xf numFmtId="17" fontId="5" fillId="0" borderId="5" xfId="0" applyNumberFormat="1" applyFont="1" applyBorder="1" applyAlignment="1">
      <alignment vertical="center" wrapText="1"/>
    </xf>
    <xf numFmtId="0" fontId="5" fillId="0" borderId="5" xfId="0" applyNumberFormat="1" applyFont="1" applyBorder="1" applyAlignment="1">
      <alignment vertical="center" wrapText="1"/>
    </xf>
    <xf numFmtId="43" fontId="5" fillId="0" borderId="5" xfId="1" applyFont="1" applyBorder="1" applyAlignment="1">
      <alignment vertical="center" wrapText="1"/>
    </xf>
    <xf numFmtId="43" fontId="3" fillId="0" borderId="5" xfId="1" applyFont="1" applyBorder="1" applyAlignment="1">
      <alignment horizontal="left" vertical="center" wrapText="1" indent="1"/>
    </xf>
    <xf numFmtId="43" fontId="3" fillId="0" borderId="3" xfId="1" applyFont="1" applyBorder="1" applyAlignment="1">
      <alignment horizontal="center" vertical="center" wrapText="1"/>
    </xf>
    <xf numFmtId="43" fontId="0" fillId="0" borderId="0" xfId="0" applyNumberFormat="1"/>
    <xf numFmtId="43" fontId="2" fillId="0" borderId="0" xfId="1" applyFont="1"/>
    <xf numFmtId="0" fontId="3" fillId="0" borderId="0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left" wrapText="1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55"/>
  <sheetViews>
    <sheetView tabSelected="1" workbookViewId="0">
      <selection activeCell="C35" sqref="C35:D47"/>
    </sheetView>
  </sheetViews>
  <sheetFormatPr defaultRowHeight="15" x14ac:dyDescent="0.25"/>
  <cols>
    <col min="2" max="2" width="5" customWidth="1"/>
    <col min="3" max="3" width="13.85546875" bestFit="1" customWidth="1"/>
    <col min="4" max="4" width="27.140625" bestFit="1" customWidth="1"/>
    <col min="5" max="5" width="15.42578125" bestFit="1" customWidth="1"/>
    <col min="6" max="7" width="18.42578125" customWidth="1"/>
    <col min="8" max="8" width="16.7109375" customWidth="1"/>
    <col min="9" max="9" width="21.7109375" customWidth="1"/>
    <col min="10" max="10" width="13.85546875" bestFit="1" customWidth="1"/>
    <col min="11" max="11" width="23.5703125" customWidth="1"/>
  </cols>
  <sheetData>
    <row r="2" spans="2:10" ht="26.25" customHeight="1" x14ac:dyDescent="0.25">
      <c r="C2" s="40" t="s">
        <v>18</v>
      </c>
      <c r="D2" s="40"/>
    </row>
    <row r="3" spans="2:10" x14ac:dyDescent="0.25">
      <c r="C3" s="1" t="s">
        <v>19</v>
      </c>
    </row>
    <row r="4" spans="2:10" x14ac:dyDescent="0.25">
      <c r="C4" s="1" t="s">
        <v>20</v>
      </c>
    </row>
    <row r="5" spans="2:10" x14ac:dyDescent="0.25">
      <c r="C5" s="1" t="s">
        <v>16</v>
      </c>
      <c r="E5" s="3"/>
    </row>
    <row r="6" spans="2:10" x14ac:dyDescent="0.25">
      <c r="C6" s="19" t="s">
        <v>21</v>
      </c>
    </row>
    <row r="7" spans="2:10" x14ac:dyDescent="0.25">
      <c r="C7" s="1" t="s">
        <v>17</v>
      </c>
    </row>
    <row r="8" spans="2:10" x14ac:dyDescent="0.25">
      <c r="C8" s="1" t="s">
        <v>0</v>
      </c>
    </row>
    <row r="9" spans="2:10" x14ac:dyDescent="0.25">
      <c r="C9" s="24" t="s">
        <v>10</v>
      </c>
      <c r="D9" s="23"/>
    </row>
    <row r="10" spans="2:10" x14ac:dyDescent="0.25">
      <c r="C10" s="24" t="s">
        <v>11</v>
      </c>
      <c r="D10" s="23"/>
    </row>
    <row r="11" spans="2:10" x14ac:dyDescent="0.25">
      <c r="C11" s="1"/>
    </row>
    <row r="12" spans="2:10" x14ac:dyDescent="0.25">
      <c r="B12" s="41"/>
      <c r="C12" s="42"/>
      <c r="D12" s="43"/>
      <c r="E12" s="43"/>
      <c r="F12" s="43"/>
      <c r="G12" s="43"/>
      <c r="H12" s="43"/>
      <c r="I12" s="43"/>
      <c r="J12" s="43"/>
    </row>
    <row r="13" spans="2:10" x14ac:dyDescent="0.25">
      <c r="B13" s="41"/>
      <c r="C13" s="42"/>
      <c r="D13" s="43"/>
      <c r="E13" s="43"/>
      <c r="F13" s="43"/>
      <c r="G13" s="43"/>
      <c r="H13" s="43"/>
      <c r="I13" s="43"/>
      <c r="J13" s="43"/>
    </row>
    <row r="14" spans="2:10" ht="42.75" x14ac:dyDescent="0.25">
      <c r="C14" s="7" t="s">
        <v>1</v>
      </c>
      <c r="D14" s="8" t="s">
        <v>2</v>
      </c>
      <c r="E14" s="9" t="s">
        <v>3</v>
      </c>
      <c r="F14" s="9" t="s">
        <v>4</v>
      </c>
      <c r="G14" s="9" t="s">
        <v>5</v>
      </c>
      <c r="H14" s="10" t="s">
        <v>12</v>
      </c>
      <c r="I14" s="10" t="s">
        <v>14</v>
      </c>
      <c r="J14" s="10" t="s">
        <v>13</v>
      </c>
    </row>
    <row r="15" spans="2:10" ht="29.25" customHeight="1" x14ac:dyDescent="0.25">
      <c r="C15" s="11">
        <v>45839</v>
      </c>
      <c r="D15" s="12">
        <f>31-10</f>
        <v>21</v>
      </c>
      <c r="E15" s="13">
        <v>1000000</v>
      </c>
      <c r="F15" s="14">
        <f t="shared" ref="F15:F19" si="0">ROUND(E15*20%/365*D15,2)</f>
        <v>11506.85</v>
      </c>
      <c r="G15" s="9"/>
      <c r="H15" s="10"/>
      <c r="I15" s="10"/>
      <c r="J15" s="10"/>
    </row>
    <row r="16" spans="2:10" ht="29.25" customHeight="1" x14ac:dyDescent="0.25">
      <c r="C16" s="11">
        <v>45870</v>
      </c>
      <c r="D16" s="12">
        <v>31</v>
      </c>
      <c r="E16" s="13">
        <v>1000000</v>
      </c>
      <c r="F16" s="14">
        <f t="shared" si="0"/>
        <v>16986.3</v>
      </c>
      <c r="G16" s="9"/>
      <c r="H16" s="10"/>
      <c r="I16" s="10"/>
      <c r="J16" s="10"/>
    </row>
    <row r="17" spans="3:10" ht="29.25" customHeight="1" x14ac:dyDescent="0.25">
      <c r="C17" s="11">
        <v>45901</v>
      </c>
      <c r="D17" s="12">
        <v>30</v>
      </c>
      <c r="E17" s="13">
        <v>1000000</v>
      </c>
      <c r="F17" s="14">
        <f t="shared" si="0"/>
        <v>16438.36</v>
      </c>
      <c r="G17" s="9"/>
      <c r="H17" s="10"/>
      <c r="I17" s="10"/>
      <c r="J17" s="10"/>
    </row>
    <row r="18" spans="3:10" ht="29.25" customHeight="1" x14ac:dyDescent="0.25">
      <c r="C18" s="11">
        <v>45931</v>
      </c>
      <c r="D18" s="12">
        <v>31</v>
      </c>
      <c r="E18" s="13">
        <v>1000000</v>
      </c>
      <c r="F18" s="14">
        <f t="shared" si="0"/>
        <v>16986.3</v>
      </c>
      <c r="G18" s="9"/>
      <c r="H18" s="10"/>
      <c r="I18" s="10"/>
      <c r="J18" s="10"/>
    </row>
    <row r="19" spans="3:10" ht="29.25" customHeight="1" x14ac:dyDescent="0.25">
      <c r="C19" s="11">
        <v>45962</v>
      </c>
      <c r="D19" s="12">
        <v>30</v>
      </c>
      <c r="E19" s="13">
        <v>1000000</v>
      </c>
      <c r="F19" s="14">
        <f t="shared" si="0"/>
        <v>16438.36</v>
      </c>
      <c r="G19" s="9"/>
      <c r="H19" s="10"/>
      <c r="I19" s="10"/>
      <c r="J19" s="10"/>
    </row>
    <row r="20" spans="3:10" ht="29.25" customHeight="1" x14ac:dyDescent="0.25">
      <c r="C20" s="11">
        <v>45992</v>
      </c>
      <c r="D20" s="12">
        <v>31</v>
      </c>
      <c r="E20" s="13">
        <v>1000000</v>
      </c>
      <c r="F20" s="14">
        <f>ROUND(E20*20%/365*D20,2)</f>
        <v>16986.3</v>
      </c>
      <c r="G20" s="9"/>
      <c r="H20" s="10"/>
      <c r="I20" s="10"/>
      <c r="J20" s="10"/>
    </row>
    <row r="21" spans="3:10" ht="29.25" customHeight="1" x14ac:dyDescent="0.25">
      <c r="C21" s="11">
        <v>46023</v>
      </c>
      <c r="D21" s="12">
        <v>31</v>
      </c>
      <c r="E21" s="13">
        <v>1000000</v>
      </c>
      <c r="F21" s="14">
        <f t="shared" ref="F21" si="1">ROUND(E21*72%/365*D21,2)</f>
        <v>61150.68</v>
      </c>
      <c r="G21" s="9"/>
      <c r="H21" s="10"/>
      <c r="I21" s="10"/>
      <c r="J21" s="10"/>
    </row>
    <row r="22" spans="3:10" ht="29.25" customHeight="1" x14ac:dyDescent="0.25">
      <c r="C22" s="11">
        <v>46054</v>
      </c>
      <c r="D22" s="12">
        <v>28</v>
      </c>
      <c r="E22" s="13">
        <v>1000000</v>
      </c>
      <c r="F22" s="14">
        <f t="shared" ref="F22:F30" si="2">ROUND(E22*72%/365*D22,2)</f>
        <v>55232.88</v>
      </c>
      <c r="G22" s="15"/>
      <c r="H22" s="16"/>
      <c r="I22" s="16"/>
      <c r="J22" s="16"/>
    </row>
    <row r="23" spans="3:10" ht="29.25" customHeight="1" x14ac:dyDescent="0.25">
      <c r="C23" s="11">
        <v>46082</v>
      </c>
      <c r="D23" s="12">
        <v>31</v>
      </c>
      <c r="E23" s="13">
        <v>1000000</v>
      </c>
      <c r="F23" s="14">
        <f t="shared" si="2"/>
        <v>61150.68</v>
      </c>
      <c r="G23" s="15"/>
      <c r="H23" s="16"/>
      <c r="I23" s="16"/>
      <c r="J23" s="17">
        <f t="shared" ref="J23:J25" si="3">G23*0.1%*I23</f>
        <v>0</v>
      </c>
    </row>
    <row r="24" spans="3:10" ht="29.25" customHeight="1" x14ac:dyDescent="0.25">
      <c r="C24" s="11">
        <v>46113</v>
      </c>
      <c r="D24" s="12">
        <v>30</v>
      </c>
      <c r="E24" s="13">
        <v>1000000</v>
      </c>
      <c r="F24" s="14">
        <f t="shared" si="2"/>
        <v>59178.080000000002</v>
      </c>
      <c r="G24" s="15"/>
      <c r="H24" s="16"/>
      <c r="I24" s="16"/>
      <c r="J24" s="17">
        <f t="shared" si="3"/>
        <v>0</v>
      </c>
    </row>
    <row r="25" spans="3:10" ht="29.25" customHeight="1" x14ac:dyDescent="0.25">
      <c r="C25" s="11">
        <v>46143</v>
      </c>
      <c r="D25" s="12">
        <v>31</v>
      </c>
      <c r="E25" s="13">
        <v>1000000</v>
      </c>
      <c r="F25" s="14">
        <f t="shared" si="2"/>
        <v>61150.68</v>
      </c>
      <c r="G25" s="15"/>
      <c r="H25" s="16"/>
      <c r="I25" s="16"/>
      <c r="J25" s="17">
        <f t="shared" si="3"/>
        <v>0</v>
      </c>
    </row>
    <row r="26" spans="3:10" ht="29.25" customHeight="1" x14ac:dyDescent="0.25">
      <c r="C26" s="11">
        <v>46174</v>
      </c>
      <c r="D26" s="12">
        <v>30</v>
      </c>
      <c r="E26" s="13">
        <v>1000000</v>
      </c>
      <c r="F26" s="14">
        <f t="shared" si="2"/>
        <v>59178.080000000002</v>
      </c>
      <c r="G26" s="15"/>
      <c r="H26" s="16"/>
      <c r="I26" s="16"/>
      <c r="J26" s="17">
        <f>G26*0.1%*I26</f>
        <v>0</v>
      </c>
    </row>
    <row r="27" spans="3:10" ht="29.25" customHeight="1" x14ac:dyDescent="0.25">
      <c r="C27" s="11">
        <v>46204</v>
      </c>
      <c r="D27" s="12">
        <v>31</v>
      </c>
      <c r="E27" s="13">
        <v>1000000</v>
      </c>
      <c r="F27" s="14">
        <f t="shared" si="2"/>
        <v>61150.68</v>
      </c>
      <c r="G27" s="15">
        <f>G26+F27</f>
        <v>61150.68</v>
      </c>
      <c r="H27" s="16" t="s">
        <v>25</v>
      </c>
      <c r="I27" s="16">
        <v>31</v>
      </c>
      <c r="J27" s="17">
        <f>G27*0.1%*I27</f>
        <v>1895.6710800000001</v>
      </c>
    </row>
    <row r="28" spans="3:10" ht="29.25" customHeight="1" x14ac:dyDescent="0.25">
      <c r="C28" s="11">
        <v>46235</v>
      </c>
      <c r="D28" s="12">
        <v>31</v>
      </c>
      <c r="E28" s="13">
        <v>1000000</v>
      </c>
      <c r="F28" s="14">
        <f t="shared" si="2"/>
        <v>61150.68</v>
      </c>
      <c r="G28" s="15">
        <f>G27+F28</f>
        <v>122301.36</v>
      </c>
      <c r="H28" s="16" t="s">
        <v>15</v>
      </c>
      <c r="I28" s="16">
        <v>30</v>
      </c>
      <c r="J28" s="17">
        <f>G28*0.1%*I28</f>
        <v>3669.0408000000002</v>
      </c>
    </row>
    <row r="29" spans="3:10" ht="29.25" customHeight="1" x14ac:dyDescent="0.25">
      <c r="C29" s="11">
        <v>46266</v>
      </c>
      <c r="D29" s="12">
        <v>30</v>
      </c>
      <c r="E29" s="13">
        <v>1000000</v>
      </c>
      <c r="F29" s="14">
        <f t="shared" si="2"/>
        <v>59178.080000000002</v>
      </c>
      <c r="G29" s="15">
        <f>G28+F29</f>
        <v>181479.44</v>
      </c>
      <c r="H29" s="16" t="s">
        <v>26</v>
      </c>
      <c r="I29" s="16">
        <v>26</v>
      </c>
      <c r="J29" s="17">
        <f>G29*0.1%*I29</f>
        <v>4718.4654399999999</v>
      </c>
    </row>
    <row r="30" spans="3:10" ht="29.25" customHeight="1" x14ac:dyDescent="0.25">
      <c r="C30" s="11">
        <v>46296</v>
      </c>
      <c r="D30" s="12">
        <v>26</v>
      </c>
      <c r="E30" s="13">
        <v>1000000</v>
      </c>
      <c r="F30" s="14">
        <f t="shared" si="2"/>
        <v>51287.67</v>
      </c>
      <c r="G30" s="18">
        <f>G29</f>
        <v>181479.44</v>
      </c>
      <c r="H30" s="16"/>
      <c r="I30" s="16"/>
      <c r="J30" s="17">
        <f t="shared" ref="J30" si="4">G30*0.1%*I30</f>
        <v>0</v>
      </c>
    </row>
    <row r="31" spans="3:10" ht="29.25" customHeight="1" x14ac:dyDescent="0.25">
      <c r="C31" s="11"/>
      <c r="D31" s="12"/>
      <c r="E31" s="13"/>
      <c r="F31" s="14"/>
      <c r="G31" s="15"/>
      <c r="H31" s="16"/>
      <c r="I31" s="16"/>
      <c r="J31" s="17"/>
    </row>
    <row r="32" spans="3:10" x14ac:dyDescent="0.25">
      <c r="C32" s="25"/>
      <c r="D32" s="26"/>
      <c r="E32" s="27"/>
      <c r="F32" s="28"/>
      <c r="G32" s="29"/>
      <c r="H32" s="30"/>
      <c r="I32" s="30"/>
      <c r="J32" s="31"/>
    </row>
    <row r="33" spans="3:10" ht="28.5" customHeight="1" x14ac:dyDescent="0.25">
      <c r="C33" s="32"/>
      <c r="D33" s="33"/>
      <c r="E33" s="34"/>
      <c r="F33" s="35">
        <f>SUM(F15:F32)</f>
        <v>685150.66</v>
      </c>
      <c r="G33" s="35">
        <f>G30</f>
        <v>181479.44</v>
      </c>
      <c r="H33" s="35"/>
      <c r="I33" s="35"/>
      <c r="J33" s="35">
        <f>SUM(J22:J32)</f>
        <v>10283.177320000001</v>
      </c>
    </row>
    <row r="34" spans="3:10" ht="28.5" x14ac:dyDescent="0.25">
      <c r="C34" s="36" t="s">
        <v>22</v>
      </c>
      <c r="D34" s="36" t="s">
        <v>23</v>
      </c>
      <c r="E34" s="4"/>
      <c r="F34" s="5"/>
      <c r="G34" s="6"/>
      <c r="H34" s="21"/>
      <c r="I34" s="21"/>
      <c r="J34" s="22"/>
    </row>
    <row r="35" spans="3:10" x14ac:dyDescent="0.25">
      <c r="C35" s="16" t="s">
        <v>34</v>
      </c>
      <c r="D35" s="16">
        <v>11506.85</v>
      </c>
      <c r="E35" s="4"/>
      <c r="F35" s="20"/>
      <c r="G35" s="6"/>
      <c r="H35" s="21"/>
      <c r="I35" s="21"/>
      <c r="J35" s="22"/>
    </row>
    <row r="36" spans="3:10" x14ac:dyDescent="0.25">
      <c r="C36" s="16" t="s">
        <v>35</v>
      </c>
      <c r="D36" s="16">
        <v>16986.3</v>
      </c>
      <c r="E36" s="4"/>
      <c r="F36" s="20"/>
      <c r="G36" s="6"/>
      <c r="H36" s="21"/>
      <c r="I36" s="21"/>
      <c r="J36" s="22"/>
    </row>
    <row r="37" spans="3:10" ht="15" customHeight="1" x14ac:dyDescent="0.25">
      <c r="C37" s="16" t="s">
        <v>36</v>
      </c>
      <c r="D37" s="16">
        <v>16438.36</v>
      </c>
      <c r="E37" s="4"/>
      <c r="F37" s="20"/>
      <c r="G37" s="6"/>
      <c r="H37" s="21"/>
      <c r="I37" s="21"/>
      <c r="J37" s="22"/>
    </row>
    <row r="38" spans="3:10" x14ac:dyDescent="0.25">
      <c r="C38" s="16" t="s">
        <v>37</v>
      </c>
      <c r="D38" s="16">
        <v>16986.3</v>
      </c>
      <c r="E38" s="4"/>
      <c r="F38" s="20"/>
      <c r="G38" s="6"/>
      <c r="H38" s="21"/>
      <c r="I38" s="21"/>
      <c r="J38" s="22"/>
    </row>
    <row r="39" spans="3:10" x14ac:dyDescent="0.25">
      <c r="C39" s="16" t="s">
        <v>38</v>
      </c>
      <c r="D39" s="16">
        <v>16438.36</v>
      </c>
      <c r="E39" s="4"/>
      <c r="F39" s="20"/>
      <c r="G39" s="6"/>
      <c r="H39" s="21"/>
      <c r="I39" s="21"/>
      <c r="J39" s="22"/>
    </row>
    <row r="40" spans="3:10" x14ac:dyDescent="0.25">
      <c r="C40" s="16" t="s">
        <v>39</v>
      </c>
      <c r="D40" s="16">
        <v>16986.3</v>
      </c>
      <c r="E40" s="4"/>
      <c r="F40" s="20"/>
      <c r="G40" s="6"/>
      <c r="H40" s="21"/>
      <c r="I40" s="21"/>
      <c r="J40" s="22"/>
    </row>
    <row r="41" spans="3:10" x14ac:dyDescent="0.25">
      <c r="C41" s="16" t="s">
        <v>28</v>
      </c>
      <c r="D41" s="16">
        <v>16986.3</v>
      </c>
      <c r="E41" s="4"/>
      <c r="F41" s="20"/>
      <c r="G41" s="6"/>
      <c r="H41" s="21"/>
      <c r="I41" s="21"/>
      <c r="J41" s="22"/>
    </row>
    <row r="42" spans="3:10" x14ac:dyDescent="0.25">
      <c r="C42" s="16" t="s">
        <v>29</v>
      </c>
      <c r="D42" s="16">
        <v>44164.38</v>
      </c>
      <c r="E42" s="4"/>
      <c r="F42" s="20"/>
      <c r="G42" s="6"/>
      <c r="H42" s="21"/>
      <c r="I42" s="21"/>
      <c r="J42" s="22"/>
    </row>
    <row r="43" spans="3:10" x14ac:dyDescent="0.25">
      <c r="C43" s="16" t="s">
        <v>30</v>
      </c>
      <c r="D43" s="16">
        <v>55232.88</v>
      </c>
      <c r="E43" s="4"/>
      <c r="F43" s="20"/>
      <c r="G43" s="6"/>
      <c r="H43" s="21"/>
      <c r="I43" s="21"/>
      <c r="J43" s="22"/>
    </row>
    <row r="44" spans="3:10" x14ac:dyDescent="0.25">
      <c r="C44" s="16" t="s">
        <v>31</v>
      </c>
      <c r="D44" s="16">
        <v>61150.68</v>
      </c>
      <c r="E44" s="4"/>
      <c r="F44" s="20"/>
      <c r="G44" s="6"/>
      <c r="H44" s="21"/>
      <c r="I44" s="21"/>
      <c r="J44" s="22"/>
    </row>
    <row r="45" spans="3:10" x14ac:dyDescent="0.25">
      <c r="C45" s="16" t="s">
        <v>40</v>
      </c>
      <c r="D45" s="16">
        <v>59178.080000000002</v>
      </c>
    </row>
    <row r="46" spans="3:10" x14ac:dyDescent="0.25">
      <c r="C46" s="16" t="s">
        <v>41</v>
      </c>
      <c r="D46" s="16">
        <v>61150.68</v>
      </c>
    </row>
    <row r="47" spans="3:10" x14ac:dyDescent="0.25">
      <c r="C47" s="16" t="s">
        <v>32</v>
      </c>
      <c r="D47" s="16">
        <v>59178.080000000002</v>
      </c>
    </row>
    <row r="48" spans="3:10" x14ac:dyDescent="0.25">
      <c r="D48" s="38">
        <f>SUM(D35:D47)</f>
        <v>452383.55000000005</v>
      </c>
    </row>
    <row r="50" spans="3:7" x14ac:dyDescent="0.25">
      <c r="C50" s="2" t="s">
        <v>24</v>
      </c>
    </row>
    <row r="51" spans="3:7" x14ac:dyDescent="0.25">
      <c r="C51" s="39" t="s">
        <v>6</v>
      </c>
      <c r="D51" s="39"/>
      <c r="E51" s="4">
        <f>E26</f>
        <v>1000000</v>
      </c>
    </row>
    <row r="52" spans="3:7" x14ac:dyDescent="0.25">
      <c r="C52" s="39" t="s">
        <v>7</v>
      </c>
      <c r="D52" s="39"/>
      <c r="E52" s="4">
        <f>F33-D48</f>
        <v>232767.11</v>
      </c>
      <c r="F52" s="37" t="s">
        <v>33</v>
      </c>
      <c r="G52" s="37">
        <f>E52-F30</f>
        <v>181479.44</v>
      </c>
    </row>
    <row r="53" spans="3:7" x14ac:dyDescent="0.25">
      <c r="C53" s="39" t="s">
        <v>8</v>
      </c>
      <c r="D53" s="39"/>
      <c r="E53" s="4"/>
    </row>
    <row r="54" spans="3:7" x14ac:dyDescent="0.25">
      <c r="C54" s="39" t="s">
        <v>9</v>
      </c>
      <c r="D54" s="39"/>
      <c r="E54" s="4">
        <f>J33</f>
        <v>10283.177320000001</v>
      </c>
    </row>
    <row r="55" spans="3:7" x14ac:dyDescent="0.25">
      <c r="C55" s="39" t="s">
        <v>27</v>
      </c>
      <c r="D55" s="39"/>
      <c r="E55" s="4">
        <f>SUM(E51:E54)</f>
        <v>1243050.2873199999</v>
      </c>
    </row>
  </sheetData>
  <mergeCells count="8">
    <mergeCell ref="C53:D53"/>
    <mergeCell ref="C54:D54"/>
    <mergeCell ref="C55:D55"/>
    <mergeCell ref="C2:D2"/>
    <mergeCell ref="B12:B13"/>
    <mergeCell ref="C12:J13"/>
    <mergeCell ref="C51:D51"/>
    <mergeCell ref="C52:D5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Баланс БГД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2026-10-28T11:34:11Z</dcterms:modified>
</cp:coreProperties>
</file>